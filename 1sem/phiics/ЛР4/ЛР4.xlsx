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clitt\Documents\nstu\1sem\phiics\ЛР4\"/>
    </mc:Choice>
  </mc:AlternateContent>
  <xr:revisionPtr revIDLastSave="0" documentId="13_ncr:1_{046E6D76-FA3A-487D-AF02-4B8D0955266C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" l="1"/>
  <c r="B19" i="1"/>
  <c r="A19" i="1"/>
  <c r="F2" i="1"/>
  <c r="I2" i="1"/>
  <c r="F14" i="1"/>
  <c r="F8" i="1"/>
  <c r="G14" i="1"/>
  <c r="G8" i="1"/>
  <c r="G2" i="1"/>
  <c r="E15" i="1"/>
  <c r="E16" i="1"/>
  <c r="E14" i="1"/>
  <c r="E9" i="1"/>
  <c r="E10" i="1"/>
  <c r="E8" i="1"/>
  <c r="E3" i="1"/>
  <c r="E4" i="1"/>
  <c r="E2" i="1"/>
  <c r="C16" i="1"/>
  <c r="C15" i="1"/>
  <c r="C14" i="1"/>
  <c r="C10" i="1"/>
  <c r="C9" i="1"/>
  <c r="C8" i="1"/>
  <c r="C3" i="1"/>
  <c r="C4" i="1"/>
  <c r="C2" i="1"/>
</calcChain>
</file>

<file path=xl/sharedStrings.xml><?xml version="1.0" encoding="utf-8"?>
<sst xmlns="http://schemas.openxmlformats.org/spreadsheetml/2006/main" count="23" uniqueCount="12">
  <si>
    <t>y</t>
  </si>
  <si>
    <t>1/cor(U)</t>
  </si>
  <si>
    <t>U</t>
  </si>
  <si>
    <t>d</t>
  </si>
  <si>
    <t>k</t>
  </si>
  <si>
    <t>K апроксим</t>
  </si>
  <si>
    <t>К сред знач</t>
  </si>
  <si>
    <t>mE</t>
  </si>
  <si>
    <t>U = 4</t>
  </si>
  <si>
    <t>U = 7</t>
  </si>
  <si>
    <t>U = 10</t>
  </si>
  <si>
    <t>lamda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</si>
</sst>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-* #,##0.000_-;\-* #,##0.000_-;_-* &quot;-&quot;??_-;_-@_-"/>
    <numFmt numFmtId="166" formatCode="_-* #,##0.000000000000_-;\-* #,##0.000000000000_-;_-* &quot;-&quot;??_-;_-@_-"/>
    <numFmt numFmtId="167" formatCode="_-* #,##0.0000000000000000000000000000_-;\-* #,##0.0000000000000000000000000000_-;_-* &quot;-&quot;??_-;_-@_-"/>
    <numFmt numFmtId="168" formatCode="_-* #,##0.0000000000000000000000000000\ _₽_-;\-* #,##0.0000000000000000000000000000\ _₽_-;_-* &quot;-&quot;??????????????????????????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8" xfId="0" applyNumberFormat="1" applyBorder="1"/>
    <xf numFmtId="0" fontId="0" fillId="0" borderId="8" xfId="0" applyBorder="1"/>
    <xf numFmtId="0" fontId="0" fillId="0" borderId="0" xfId="0" applyFill="1" applyBorder="1"/>
    <xf numFmtId="164" fontId="0" fillId="0" borderId="0" xfId="0" applyNumberForma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 = 50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1/cor(U)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Лист1!$C$2:$C$4</c:f>
              <c:numCache>
                <c:formatCode>General</c:formatCode>
                <c:ptCount val="3"/>
                <c:pt idx="0">
                  <c:v>0.5</c:v>
                </c:pt>
                <c:pt idx="1">
                  <c:v>0.3779644730092272</c:v>
                </c:pt>
                <c:pt idx="2">
                  <c:v>0.31622776601683794</c:v>
                </c:pt>
              </c:numCache>
            </c:numRef>
          </c:xVal>
          <c:yVal>
            <c:numRef>
              <c:f>Лист1!$B$2:$B$4</c:f>
              <c:numCache>
                <c:formatCode>0.00</c:formatCode>
                <c:ptCount val="3"/>
                <c:pt idx="0">
                  <c:v>6.5</c:v>
                </c:pt>
                <c:pt idx="1">
                  <c:v>5</c:v>
                </c:pt>
                <c:pt idx="2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6C-4552-BF83-B48A282A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70559"/>
        <c:axId val="1544364799"/>
      </c:scatterChart>
      <c:valAx>
        <c:axId val="154437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64799"/>
        <c:crosses val="autoZero"/>
        <c:crossBetween val="midCat"/>
      </c:valAx>
      <c:valAx>
        <c:axId val="154436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7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</a:t>
            </a:r>
            <a:r>
              <a:rPr lang="en-US" baseline="0"/>
              <a:t> = 60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Лист1!$C$7</c:f>
              <c:strCache>
                <c:ptCount val="1"/>
                <c:pt idx="0">
                  <c:v>1/cor(U)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Лист1!$C$8:$C$10</c:f>
              <c:numCache>
                <c:formatCode>General</c:formatCode>
                <c:ptCount val="3"/>
                <c:pt idx="0">
                  <c:v>0.5</c:v>
                </c:pt>
                <c:pt idx="1">
                  <c:v>0.3779644730092272</c:v>
                </c:pt>
                <c:pt idx="2">
                  <c:v>0.31622776601683794</c:v>
                </c:pt>
              </c:numCache>
            </c:numRef>
          </c:xVal>
          <c:yVal>
            <c:numRef>
              <c:f>Лист1!$B$8:$B$10</c:f>
              <c:numCache>
                <c:formatCode>0.00</c:formatCode>
                <c:ptCount val="3"/>
                <c:pt idx="0">
                  <c:v>6</c:v>
                </c:pt>
                <c:pt idx="1">
                  <c:v>4.8</c:v>
                </c:pt>
                <c:pt idx="2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3-4F29-BEEB-C7D6F1F8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805487"/>
        <c:axId val="1795796847"/>
      </c:scatterChart>
      <c:valAx>
        <c:axId val="179580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796847"/>
        <c:crosses val="autoZero"/>
        <c:crossBetween val="midCat"/>
      </c:valAx>
      <c:valAx>
        <c:axId val="179579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80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D=70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7261592300962375E-2"/>
          <c:y val="0.17171296296296298"/>
          <c:w val="0.87450918635170605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Лист1!$C$13</c:f>
              <c:strCache>
                <c:ptCount val="1"/>
                <c:pt idx="0">
                  <c:v>1/cor(U)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Лист1!$C$14:$C$16</c:f>
              <c:numCache>
                <c:formatCode>General</c:formatCode>
                <c:ptCount val="3"/>
                <c:pt idx="0">
                  <c:v>0.5</c:v>
                </c:pt>
                <c:pt idx="1">
                  <c:v>0.3779644730092272</c:v>
                </c:pt>
                <c:pt idx="2">
                  <c:v>0.31622776601683794</c:v>
                </c:pt>
              </c:numCache>
            </c:numRef>
          </c:xVal>
          <c:yVal>
            <c:numRef>
              <c:f>Лист1!$B$14:$B$16</c:f>
              <c:numCache>
                <c:formatCode>0.00</c:formatCode>
                <c:ptCount val="3"/>
                <c:pt idx="0">
                  <c:v>6.3</c:v>
                </c:pt>
                <c:pt idx="1">
                  <c:v>4.2</c:v>
                </c:pt>
                <c:pt idx="2">
                  <c:v>4.1900000000000004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A-49E3-8629-1AB36CF34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365759"/>
        <c:axId val="1544368159"/>
      </c:scatterChart>
      <c:valAx>
        <c:axId val="154436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68159"/>
        <c:crosses val="autoZero"/>
        <c:crossBetween val="midCat"/>
      </c:valAx>
      <c:valAx>
        <c:axId val="15443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6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1</xdr:row>
      <xdr:rowOff>114300</xdr:rowOff>
    </xdr:from>
    <xdr:to>
      <xdr:col>20</xdr:col>
      <xdr:colOff>561975</xdr:colOff>
      <xdr:row>15</xdr:row>
      <xdr:rowOff>190500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A24DF0-8456-54E7-B227-7D807DA8E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452437</xdr:colOff>
      <xdr:row>17</xdr:row>
      <xdr:rowOff>142875</xdr:rowOff>
    </xdr:from>
    <xdr:to>
      <xdr:col>21</xdr:col>
      <xdr:colOff>147637</xdr:colOff>
      <xdr:row>32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73C1E61-98FD-5521-07C6-A8E16C458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607768</xdr:colOff>
      <xdr:row>34</xdr:row>
      <xdr:rowOff>30773</xdr:rowOff>
    </xdr:from>
    <xdr:to>
      <xdr:col>21</xdr:col>
      <xdr:colOff>302968</xdr:colOff>
      <xdr:row>48</xdr:row>
      <xdr:rowOff>106973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A1DA2FC-AED6-1390-0752-6B1C68797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160" zoomScaleNormal="160" workbookViewId="0">
      <selection activeCell="C8" sqref="C8"/>
    </sheetView>
  </sheetViews>
  <sheetFormatPr defaultRowHeight="15" x14ac:dyDescent="0.25"/>
  <cols>
    <col min="6" max="6" width="11.42578125" bestFit="1" customWidth="1"/>
    <col min="7" max="7" width="19.140625" customWidth="1"/>
    <col min="8" max="8" width="71.140625" customWidth="1"/>
    <col min="9" max="9" width="49.42578125" customWidth="1"/>
  </cols>
  <sheetData>
    <row r="1" spans="1:9" x14ac:dyDescent="0.25">
      <c r="A1" s="4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12" t="s">
        <v>5</v>
      </c>
      <c r="G1" s="12" t="s">
        <v>6</v>
      </c>
      <c r="H1" s="12" t="s">
        <v>7</v>
      </c>
    </row>
    <row r="2" spans="1:9" x14ac:dyDescent="0.25">
      <c r="A2" s="7">
        <v>50</v>
      </c>
      <c r="B2" s="3">
        <v>6.5</v>
      </c>
      <c r="C2" s="2">
        <f>(1/SQRT(D2))</f>
        <v>0.5</v>
      </c>
      <c r="D2" s="2">
        <v>4</v>
      </c>
      <c r="E2" s="8">
        <f>B2/C2</f>
        <v>13</v>
      </c>
      <c r="F2">
        <f>(B2-B4)/(C2-C4)</f>
        <v>13.603796100280633</v>
      </c>
      <c r="G2" s="13">
        <f>AVERAGE(E2:E4)</f>
        <v>12.959289065332158</v>
      </c>
      <c r="H2" s="16"/>
      <c r="I2" s="17">
        <f>H2*POWER(10,17)</f>
        <v>0</v>
      </c>
    </row>
    <row r="3" spans="1:9" x14ac:dyDescent="0.25">
      <c r="A3" s="7"/>
      <c r="B3" s="3">
        <v>5</v>
      </c>
      <c r="C3" s="2">
        <f t="shared" ref="C3:C4" si="0">(1/SQRT(D3))</f>
        <v>0.3779644730092272</v>
      </c>
      <c r="D3" s="2">
        <v>7</v>
      </c>
      <c r="E3" s="8">
        <f t="shared" ref="E3:E4" si="1">B3/C3</f>
        <v>13.228756555322954</v>
      </c>
    </row>
    <row r="4" spans="1:9" ht="15.75" thickBot="1" x14ac:dyDescent="0.3">
      <c r="A4" s="9"/>
      <c r="B4" s="10">
        <v>4</v>
      </c>
      <c r="C4" s="11">
        <f t="shared" si="0"/>
        <v>0.31622776601683794</v>
      </c>
      <c r="D4" s="11">
        <v>10</v>
      </c>
      <c r="E4" s="8">
        <f t="shared" si="1"/>
        <v>12.649110640673516</v>
      </c>
    </row>
    <row r="6" spans="1:9" ht="15.75" thickBot="1" x14ac:dyDescent="0.3"/>
    <row r="7" spans="1:9" x14ac:dyDescent="0.25">
      <c r="A7" s="4"/>
      <c r="B7" s="5" t="s">
        <v>0</v>
      </c>
      <c r="C7" s="5" t="s">
        <v>1</v>
      </c>
      <c r="D7" s="5" t="s">
        <v>2</v>
      </c>
      <c r="E7" s="6" t="s">
        <v>4</v>
      </c>
      <c r="F7" s="12" t="s">
        <v>5</v>
      </c>
      <c r="G7" s="12"/>
    </row>
    <row r="8" spans="1:9" x14ac:dyDescent="0.25">
      <c r="A8" s="7">
        <v>60</v>
      </c>
      <c r="B8" s="3">
        <v>6</v>
      </c>
      <c r="C8" s="2">
        <f>(1/SQRT(D8))</f>
        <v>0.5</v>
      </c>
      <c r="D8" s="2">
        <v>4</v>
      </c>
      <c r="E8" s="8">
        <f>B8/C8</f>
        <v>12</v>
      </c>
      <c r="F8">
        <f>(B8-B10)/(C8-C10)</f>
        <v>9.7947331922020542</v>
      </c>
      <c r="G8" s="14">
        <f>AVERAGE(E8:E10)</f>
        <v>12.660390821939076</v>
      </c>
      <c r="H8" s="15"/>
    </row>
    <row r="9" spans="1:9" x14ac:dyDescent="0.25">
      <c r="A9" s="7"/>
      <c r="B9" s="3">
        <v>4.8</v>
      </c>
      <c r="C9" s="2">
        <f t="shared" ref="C9:C10" si="2">(1/SQRT(D9))</f>
        <v>0.3779644730092272</v>
      </c>
      <c r="D9" s="2">
        <v>7</v>
      </c>
      <c r="E9" s="8">
        <f t="shared" ref="E9:E10" si="3">B9/C9</f>
        <v>12.699606293110035</v>
      </c>
    </row>
    <row r="10" spans="1:9" ht="15.75" thickBot="1" x14ac:dyDescent="0.3">
      <c r="A10" s="9"/>
      <c r="B10" s="10">
        <v>4.2</v>
      </c>
      <c r="C10" s="11">
        <f t="shared" si="2"/>
        <v>0.31622776601683794</v>
      </c>
      <c r="D10" s="11">
        <v>10</v>
      </c>
      <c r="E10" s="8">
        <f t="shared" si="3"/>
        <v>13.281566172707194</v>
      </c>
    </row>
    <row r="12" spans="1:9" ht="15.75" thickBot="1" x14ac:dyDescent="0.3"/>
    <row r="13" spans="1:9" x14ac:dyDescent="0.25">
      <c r="A13" s="4" t="s">
        <v>3</v>
      </c>
      <c r="B13" s="5" t="s">
        <v>0</v>
      </c>
      <c r="C13" s="5" t="s">
        <v>1</v>
      </c>
      <c r="D13" s="5" t="s">
        <v>2</v>
      </c>
      <c r="E13" s="6" t="s">
        <v>4</v>
      </c>
      <c r="F13" s="12" t="s">
        <v>5</v>
      </c>
      <c r="G13" s="12"/>
    </row>
    <row r="14" spans="1:9" x14ac:dyDescent="0.25">
      <c r="A14" s="7">
        <v>70</v>
      </c>
      <c r="B14" s="3">
        <v>6.3</v>
      </c>
      <c r="C14" s="2">
        <f>(1/SQRT(D14))</f>
        <v>0.5</v>
      </c>
      <c r="D14" s="2">
        <v>4</v>
      </c>
      <c r="E14" s="8">
        <f>B14/C14</f>
        <v>12.6</v>
      </c>
      <c r="F14">
        <f>(B14-B16)/(C14-C16)</f>
        <v>11.481603908636851</v>
      </c>
      <c r="G14" s="14">
        <f>AVERAGE(E14:E16)</f>
        <v>12.320699634192266</v>
      </c>
      <c r="H14" s="15"/>
    </row>
    <row r="15" spans="1:9" x14ac:dyDescent="0.25">
      <c r="A15" s="7"/>
      <c r="B15" s="3">
        <v>4.2</v>
      </c>
      <c r="C15" s="2">
        <f t="shared" ref="C15:C16" si="4">(1/SQRT(D15))</f>
        <v>0.3779644730092272</v>
      </c>
      <c r="D15" s="2">
        <v>7</v>
      </c>
      <c r="E15" s="8">
        <f t="shared" ref="E15:E16" si="5">B15/C15</f>
        <v>11.112155506471282</v>
      </c>
    </row>
    <row r="16" spans="1:9" ht="15.75" thickBot="1" x14ac:dyDescent="0.3">
      <c r="A16" s="9"/>
      <c r="B16" s="10">
        <v>4.1900000000000004</v>
      </c>
      <c r="C16" s="11">
        <f t="shared" si="4"/>
        <v>0.31622776601683794</v>
      </c>
      <c r="D16" s="11">
        <v>10</v>
      </c>
      <c r="E16" s="8">
        <f t="shared" si="5"/>
        <v>13.249943396105511</v>
      </c>
    </row>
    <row r="18" spans="1:4" x14ac:dyDescent="0.25">
      <c r="A18" t="s">
        <v>8</v>
      </c>
      <c r="B18" t="s">
        <v>9</v>
      </c>
      <c r="C18" t="s">
        <v>10</v>
      </c>
      <c r="D18" t="s">
        <v>11</v>
      </c>
    </row>
    <row r="19" spans="1:4" x14ac:dyDescent="0.25">
      <c r="A19" s="1">
        <f>AVERAGE(B2,B8,B14)</f>
        <v>6.2666666666666666</v>
      </c>
      <c r="B19" s="1">
        <f>AVERAGE(B3,B9,B15)</f>
        <v>4.666666666666667</v>
      </c>
      <c r="C19" s="1">
        <f>AVERAGE(B4,B10,B16)</f>
        <v>4.13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eclitt</dc:creator>
  <cp:lastModifiedBy>eclitt</cp:lastModifiedBy>
  <dcterms:created xsi:type="dcterms:W3CDTF">2015-06-05T18:19:34Z</dcterms:created>
  <dcterms:modified xsi:type="dcterms:W3CDTF">2026-04-07T05:20:57Z</dcterms:modified>
</cp:coreProperties>
</file>