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clitt\Documents\nstu\2sem\electro\lab1\"/>
    </mc:Choice>
  </mc:AlternateContent>
  <xr:revisionPtr revIDLastSave="0" documentId="13_ncr:1_{8520BCE2-BFFF-4C89-A3C1-20FED9E2630A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D5" i="1"/>
  <c r="D2" i="1"/>
  <c r="D3" i="1"/>
  <c r="D6" i="1"/>
  <c r="D7" i="1"/>
  <c r="D8" i="1"/>
  <c r="D9" i="1"/>
  <c r="D11" i="1"/>
  <c r="D12" i="1"/>
  <c r="D13" i="1"/>
  <c r="D14" i="1"/>
  <c r="D15" i="1"/>
  <c r="D4" i="1"/>
</calcChain>
</file>

<file path=xl/sharedStrings.xml><?xml version="1.0" encoding="utf-8"?>
<sst xmlns="http://schemas.openxmlformats.org/spreadsheetml/2006/main" count="15" uniqueCount="9">
  <si>
    <t>E, мВ</t>
  </si>
  <si>
    <t>Iд обр, мкА</t>
  </si>
  <si>
    <t>Uд обр, мВ</t>
  </si>
  <si>
    <t>E, В</t>
  </si>
  <si>
    <t>Iд, мА</t>
  </si>
  <si>
    <t>Uд, мВ</t>
  </si>
  <si>
    <t>Сопротивление</t>
  </si>
  <si>
    <t>Примерно 10</t>
  </si>
  <si>
    <t>Примерно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</si>
</sst>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horizontal="right" vertical="center"/>
    </xf>
    <xf numFmtId="16" fontId="1" fillId="0" borderId="0" xfId="0" applyNumberFormat="1" applyFont="1" applyBorder="1" applyAlignment="1">
      <alignment horizontal="right" vertical="center"/>
    </xf>
    <xf numFmtId="17" fontId="1" fillId="0" borderId="0" xfId="0" applyNumberFormat="1" applyFont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 applyBorder="1" applyAlignment="1">
      <alignment horizontal="right" vertical="center"/>
    </xf>
    <xf numFmtId="2" fontId="0" fillId="0" borderId="0" xfId="0" applyNumberFormat="1" applyBorder="1"/>
    <xf numFmtId="0" fontId="1" fillId="2" borderId="0" xfId="0" applyFont="1" applyFill="1" applyBorder="1" applyAlignment="1">
      <alignment vertical="center"/>
    </xf>
    <xf numFmtId="16" fontId="1" fillId="2" borderId="0" xfId="0" applyNumberFormat="1" applyFont="1" applyFill="1" applyBorder="1" applyAlignment="1">
      <alignment horizontal="right" vertical="center"/>
    </xf>
    <xf numFmtId="2" fontId="0" fillId="2" borderId="0" xfId="0" applyNumberFormat="1" applyFill="1"/>
    <xf numFmtId="2" fontId="1" fillId="2" borderId="0" xfId="0" applyNumberFormat="1" applyFont="1" applyFill="1" applyBorder="1" applyAlignment="1">
      <alignment vertical="center"/>
    </xf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Iд, мА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Лист1!$B$2:$B$41</c:f>
              <c:numCache>
                <c:formatCode>General</c:formatCode>
                <c:ptCount val="40"/>
                <c:pt idx="0">
                  <c:v>299.8</c:v>
                </c:pt>
                <c:pt idx="1">
                  <c:v>481.5</c:v>
                </c:pt>
                <c:pt idx="2">
                  <c:v>564.4</c:v>
                </c:pt>
                <c:pt idx="4">
                  <c:v>597</c:v>
                </c:pt>
                <c:pt idx="5">
                  <c:v>612</c:v>
                </c:pt>
                <c:pt idx="6">
                  <c:v>623</c:v>
                </c:pt>
                <c:pt idx="7">
                  <c:v>632</c:v>
                </c:pt>
                <c:pt idx="9">
                  <c:v>639</c:v>
                </c:pt>
                <c:pt idx="10">
                  <c:v>646</c:v>
                </c:pt>
                <c:pt idx="11">
                  <c:v>651</c:v>
                </c:pt>
                <c:pt idx="12">
                  <c:v>657</c:v>
                </c:pt>
                <c:pt idx="13">
                  <c:v>662</c:v>
                </c:pt>
              </c:numCache>
            </c:numRef>
          </c:xVal>
          <c:yVal>
            <c:numRef>
              <c:f>Лист1!$C$2:$C$41</c:f>
              <c:numCache>
                <c:formatCode>General</c:formatCode>
                <c:ptCount val="40"/>
                <c:pt idx="0">
                  <c:v>2.9999999999999997E-4</c:v>
                </c:pt>
                <c:pt idx="1">
                  <c:v>3.6900000000000002E-2</c:v>
                </c:pt>
                <c:pt idx="2">
                  <c:v>0.872</c:v>
                </c:pt>
                <c:pt idx="3">
                  <c:v>0</c:v>
                </c:pt>
                <c:pt idx="4">
                  <c:v>2.8</c:v>
                </c:pt>
                <c:pt idx="5">
                  <c:v>4.7699999999999996</c:v>
                </c:pt>
                <c:pt idx="6">
                  <c:v>6.75</c:v>
                </c:pt>
                <c:pt idx="7">
                  <c:v>8.74</c:v>
                </c:pt>
                <c:pt idx="8">
                  <c:v>0</c:v>
                </c:pt>
                <c:pt idx="9">
                  <c:v>10.7</c:v>
                </c:pt>
                <c:pt idx="10">
                  <c:v>12.7</c:v>
                </c:pt>
                <c:pt idx="11">
                  <c:v>14.7</c:v>
                </c:pt>
                <c:pt idx="12">
                  <c:v>16.7</c:v>
                </c:pt>
                <c:pt idx="13">
                  <c:v>18.7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77-4F61-95DE-DD7FB518F77D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83624752"/>
        <c:axId val="483623792"/>
      </c:scatterChart>
      <c:valAx>
        <c:axId val="48362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3623792"/>
        <c:crosses val="autoZero"/>
        <c:crossBetween val="midCat"/>
      </c:valAx>
      <c:valAx>
        <c:axId val="48362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36247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Лист1!$I$1</c:f>
              <c:strCache>
                <c:ptCount val="1"/>
                <c:pt idx="0">
                  <c:v>Iд обр, мкА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Лист1!$H$2:$H$41</c:f>
              <c:numCache>
                <c:formatCode>General</c:formatCode>
                <c:ptCount val="40"/>
                <c:pt idx="0">
                  <c:v>10</c:v>
                </c:pt>
                <c:pt idx="1">
                  <c:v>20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700</c:v>
                </c:pt>
                <c:pt idx="7">
                  <c:v>800</c:v>
                </c:pt>
                <c:pt idx="8">
                  <c:v>1000</c:v>
                </c:pt>
                <c:pt idx="9">
                  <c:v>2000</c:v>
                </c:pt>
                <c:pt idx="10">
                  <c:v>5000</c:v>
                </c:pt>
              </c:numCache>
            </c:numRef>
          </c:xVal>
          <c:yVal>
            <c:numRef>
              <c:f>Лист1!$I$2:$I$41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1E-3</c:v>
                </c:pt>
                <c:pt idx="6">
                  <c:v>1E-3</c:v>
                </c:pt>
                <c:pt idx="7">
                  <c:v>1E-3</c:v>
                </c:pt>
                <c:pt idx="8">
                  <c:v>1E-3</c:v>
                </c:pt>
                <c:pt idx="9">
                  <c:v>2E-3</c:v>
                </c:pt>
                <c:pt idx="10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D8-411F-856F-D1A54C035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76752"/>
        <c:axId val="528493344"/>
      </c:scatterChart>
      <c:valAx>
        <c:axId val="47637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493344"/>
        <c:crosses val="autoZero"/>
        <c:crossBetween val="midCat"/>
      </c:valAx>
      <c:valAx>
        <c:axId val="5284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376752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Лист1!$O$1</c:f>
              <c:strCache>
                <c:ptCount val="1"/>
                <c:pt idx="0">
                  <c:v>Iд, мА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Лист1!$N$2:$N$41</c:f>
              <c:numCache>
                <c:formatCode>General</c:formatCode>
                <c:ptCount val="40"/>
                <c:pt idx="0">
                  <c:v>148</c:v>
                </c:pt>
                <c:pt idx="1">
                  <c:v>169</c:v>
                </c:pt>
                <c:pt idx="2">
                  <c:v>193</c:v>
                </c:pt>
                <c:pt idx="3">
                  <c:v>215</c:v>
                </c:pt>
                <c:pt idx="4">
                  <c:v>229</c:v>
                </c:pt>
                <c:pt idx="5">
                  <c:v>238</c:v>
                </c:pt>
                <c:pt idx="6">
                  <c:v>246</c:v>
                </c:pt>
                <c:pt idx="7">
                  <c:v>253</c:v>
                </c:pt>
                <c:pt idx="8">
                  <c:v>260</c:v>
                </c:pt>
                <c:pt idx="9">
                  <c:v>265</c:v>
                </c:pt>
                <c:pt idx="10">
                  <c:v>270</c:v>
                </c:pt>
                <c:pt idx="11">
                  <c:v>275</c:v>
                </c:pt>
              </c:numCache>
            </c:numRef>
          </c:xVal>
          <c:yVal>
            <c:numRef>
              <c:f>Лист1!$O$2:$O$41</c:f>
              <c:numCache>
                <c:formatCode>General</c:formatCode>
                <c:ptCount val="40"/>
                <c:pt idx="0">
                  <c:v>0.3</c:v>
                </c:pt>
                <c:pt idx="1">
                  <c:v>0.66</c:v>
                </c:pt>
                <c:pt idx="2">
                  <c:v>1.6</c:v>
                </c:pt>
                <c:pt idx="3">
                  <c:v>3.6</c:v>
                </c:pt>
                <c:pt idx="4">
                  <c:v>5.5</c:v>
                </c:pt>
                <c:pt idx="5">
                  <c:v>7.5</c:v>
                </c:pt>
                <c:pt idx="6">
                  <c:v>9.5</c:v>
                </c:pt>
                <c:pt idx="7">
                  <c:v>11.5</c:v>
                </c:pt>
                <c:pt idx="8">
                  <c:v>13.5</c:v>
                </c:pt>
                <c:pt idx="9">
                  <c:v>15.5</c:v>
                </c:pt>
                <c:pt idx="10">
                  <c:v>17.5</c:v>
                </c:pt>
                <c:pt idx="11">
                  <c:v>19.5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E-4BC6-B3E6-34E5B35F4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374352"/>
        <c:axId val="476376752"/>
      </c:scatterChart>
      <c:valAx>
        <c:axId val="47637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376752"/>
        <c:crosses val="autoZero"/>
        <c:crossBetween val="midCat"/>
      </c:valAx>
      <c:valAx>
        <c:axId val="47637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6374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Лист1!$U$1</c:f>
              <c:strCache>
                <c:ptCount val="1"/>
                <c:pt idx="0">
                  <c:v>Iд обр, мкА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Лист1!$T$2:$T$41</c:f>
              <c:numCache>
                <c:formatCode>General</c:formatCode>
                <c:ptCount val="40"/>
                <c:pt idx="0">
                  <c:v>9.84</c:v>
                </c:pt>
                <c:pt idx="1">
                  <c:v>19.72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500</c:v>
                </c:pt>
                <c:pt idx="6">
                  <c:v>700</c:v>
                </c:pt>
                <c:pt idx="7">
                  <c:v>800</c:v>
                </c:pt>
                <c:pt idx="8">
                  <c:v>1000</c:v>
                </c:pt>
                <c:pt idx="9">
                  <c:v>2000</c:v>
                </c:pt>
                <c:pt idx="10">
                  <c:v>5000</c:v>
                </c:pt>
              </c:numCache>
            </c:numRef>
          </c:xVal>
          <c:yVal>
            <c:numRef>
              <c:f>Лист1!$U$2:$U$41</c:f>
              <c:numCache>
                <c:formatCode>General</c:formatCode>
                <c:ptCount val="40"/>
                <c:pt idx="0">
                  <c:v>0.32600000000000001</c:v>
                </c:pt>
                <c:pt idx="1">
                  <c:v>0.55300000000000005</c:v>
                </c:pt>
                <c:pt idx="2">
                  <c:v>0.85</c:v>
                </c:pt>
                <c:pt idx="3">
                  <c:v>0.98</c:v>
                </c:pt>
                <c:pt idx="4">
                  <c:v>0.997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1.002</c:v>
                </c:pt>
                <c:pt idx="10">
                  <c:v>1.0049999999999999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CF-4CBD-A2B4-432AC0756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95744"/>
        <c:axId val="528496704"/>
      </c:scatterChart>
      <c:valAx>
        <c:axId val="52849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496704"/>
        <c:crosses val="autoZero"/>
        <c:crossBetween val="midCat"/>
      </c:valAx>
      <c:valAx>
        <c:axId val="52849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849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15</xdr:row>
      <xdr:rowOff>47625</xdr:rowOff>
    </xdr:from>
    <xdr:to>
      <xdr:col>10</xdr:col>
      <xdr:colOff>590550</xdr:colOff>
      <xdr:row>29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AAD6ACE-DB74-3BA0-CF38-33286B000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295275</xdr:colOff>
      <xdr:row>30</xdr:row>
      <xdr:rowOff>76200</xdr:rowOff>
    </xdr:from>
    <xdr:to>
      <xdr:col>10</xdr:col>
      <xdr:colOff>581025</xdr:colOff>
      <xdr:row>44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890C15C-A1ED-E713-33BC-BAE1D2411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16</xdr:row>
      <xdr:rowOff>47625</xdr:rowOff>
    </xdr:from>
    <xdr:to>
      <xdr:col>20</xdr:col>
      <xdr:colOff>304800</xdr:colOff>
      <xdr:row>30</xdr:row>
      <xdr:rowOff>123825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26055FF-6B35-0672-0C4F-052FEFF9C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605044</xdr:colOff>
      <xdr:row>31</xdr:row>
      <xdr:rowOff>25262</xdr:rowOff>
    </xdr:from>
    <xdr:to>
      <xdr:col>20</xdr:col>
      <xdr:colOff>306871</xdr:colOff>
      <xdr:row>45</xdr:row>
      <xdr:rowOff>101462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14C4387-2EE2-4CAD-E08D-E0EA7BB4C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"/>
  <sheetViews>
    <sheetView tabSelected="1" zoomScaleNormal="100" workbookViewId="0">
      <selection activeCell="K6" sqref="K6"/>
    </sheetView>
  </sheetViews>
  <sheetFormatPr defaultRowHeight="15" x14ac:dyDescent="0.25"/>
  <cols>
    <col min="1" max="1" width="4.140625" bestFit="1" customWidth="1"/>
    <col min="2" max="2" width="7" bestFit="1" customWidth="1"/>
    <col min="3" max="3" width="13.140625" bestFit="1" customWidth="1"/>
    <col min="4" max="4" width="15.5703125" bestFit="1" customWidth="1"/>
    <col min="7" max="7" width="5.5703125" bestFit="1" customWidth="1"/>
    <col min="8" max="8" width="11.28515625" bestFit="1" customWidth="1"/>
    <col min="9" max="9" width="10.85546875" bestFit="1" customWidth="1"/>
    <col min="13" max="13" width="4.140625" bestFit="1" customWidth="1"/>
    <col min="14" max="14" width="6.42578125" bestFit="1" customWidth="1"/>
    <col min="15" max="15" width="7" bestFit="1" customWidth="1"/>
    <col min="16" max="16" width="11.28515625" bestFit="1" customWidth="1"/>
    <col min="19" max="19" width="5.5703125" bestFit="1" customWidth="1"/>
    <col min="20" max="20" width="11.28515625" bestFit="1" customWidth="1"/>
    <col min="21" max="21" width="10.85546875" bestFit="1" customWidth="1"/>
  </cols>
  <sheetData>
    <row r="1" spans="1:21" x14ac:dyDescent="0.25">
      <c r="A1" s="11" t="s">
        <v>3</v>
      </c>
      <c r="B1" s="11" t="s">
        <v>5</v>
      </c>
      <c r="C1" s="11" t="s">
        <v>4</v>
      </c>
      <c r="D1" s="12" t="s">
        <v>6</v>
      </c>
      <c r="E1" s="8"/>
      <c r="F1" s="3"/>
      <c r="G1" s="11" t="s">
        <v>0</v>
      </c>
      <c r="H1" s="11" t="s">
        <v>2</v>
      </c>
      <c r="I1" s="11" t="s">
        <v>1</v>
      </c>
      <c r="K1" s="2"/>
      <c r="L1" s="2"/>
      <c r="M1" s="11" t="s">
        <v>3</v>
      </c>
      <c r="N1" s="11" t="s">
        <v>5</v>
      </c>
      <c r="O1" s="11" t="s">
        <v>4</v>
      </c>
      <c r="S1" s="11" t="s">
        <v>0</v>
      </c>
      <c r="T1" s="11" t="s">
        <v>2</v>
      </c>
      <c r="U1" s="11" t="s">
        <v>1</v>
      </c>
    </row>
    <row r="2" spans="1:21" x14ac:dyDescent="0.25">
      <c r="A2" s="11">
        <v>0.3</v>
      </c>
      <c r="B2" s="11">
        <v>299.8</v>
      </c>
      <c r="C2" s="11">
        <v>2.9999999999999997E-4</v>
      </c>
      <c r="D2">
        <f t="shared" ref="D2:D3" si="0">B2/C2</f>
        <v>999333.33333333349</v>
      </c>
      <c r="E2" s="9"/>
      <c r="F2" s="4"/>
      <c r="G2" s="11">
        <v>10</v>
      </c>
      <c r="H2" s="11">
        <v>10</v>
      </c>
      <c r="I2" s="11">
        <v>0</v>
      </c>
      <c r="K2" s="4"/>
      <c r="L2" s="4"/>
      <c r="M2" s="11">
        <v>0.3</v>
      </c>
      <c r="N2" s="11">
        <v>148</v>
      </c>
      <c r="O2" s="11">
        <v>0.3</v>
      </c>
      <c r="Q2" s="4"/>
      <c r="S2" s="11">
        <v>10</v>
      </c>
      <c r="T2" s="11">
        <v>9.84</v>
      </c>
      <c r="U2" s="11">
        <v>0.32600000000000001</v>
      </c>
    </row>
    <row r="3" spans="1:21" x14ac:dyDescent="0.25">
      <c r="A3" s="11">
        <v>0.5</v>
      </c>
      <c r="B3" s="11">
        <v>481.5</v>
      </c>
      <c r="C3" s="11">
        <v>3.6900000000000002E-2</v>
      </c>
      <c r="D3">
        <f t="shared" si="0"/>
        <v>13048.780487804877</v>
      </c>
      <c r="E3" s="9"/>
      <c r="F3" s="4"/>
      <c r="G3" s="11">
        <v>20</v>
      </c>
      <c r="H3" s="11">
        <v>20</v>
      </c>
      <c r="I3" s="11">
        <v>0</v>
      </c>
      <c r="K3" s="4"/>
      <c r="L3" s="4"/>
      <c r="M3" s="11">
        <v>0.5</v>
      </c>
      <c r="N3" s="11">
        <v>169</v>
      </c>
      <c r="O3" s="11">
        <v>0.66</v>
      </c>
      <c r="Q3" s="4"/>
      <c r="S3" s="11">
        <v>20</v>
      </c>
      <c r="T3" s="11">
        <v>19.72</v>
      </c>
      <c r="U3" s="11">
        <v>0.55300000000000005</v>
      </c>
    </row>
    <row r="4" spans="1:21" x14ac:dyDescent="0.25">
      <c r="A4" s="11">
        <v>1</v>
      </c>
      <c r="B4" s="11">
        <v>564.4</v>
      </c>
      <c r="C4" s="11">
        <v>0.872</v>
      </c>
      <c r="D4">
        <f>B4/C4</f>
        <v>647.24770642201827</v>
      </c>
      <c r="E4" s="9"/>
      <c r="F4" s="4"/>
      <c r="G4" s="11">
        <v>50</v>
      </c>
      <c r="H4" s="11">
        <v>50</v>
      </c>
      <c r="I4" s="11">
        <v>0</v>
      </c>
      <c r="K4" s="4"/>
      <c r="L4" s="4"/>
      <c r="M4" s="11">
        <v>1</v>
      </c>
      <c r="N4" s="11">
        <v>193</v>
      </c>
      <c r="O4" s="11">
        <v>1.6</v>
      </c>
      <c r="Q4" s="4"/>
      <c r="S4" s="11">
        <v>50</v>
      </c>
      <c r="T4" s="11">
        <v>50</v>
      </c>
      <c r="U4" s="11">
        <v>0.85</v>
      </c>
    </row>
    <row r="5" spans="1:21" x14ac:dyDescent="0.25">
      <c r="C5" t="s">
        <v>8</v>
      </c>
      <c r="D5" s="10">
        <f>(B6-B4)/(C6-C4)</f>
        <v>16.908713692946069</v>
      </c>
      <c r="F5" s="5"/>
      <c r="G5" s="11">
        <v>100</v>
      </c>
      <c r="H5" s="11">
        <v>100</v>
      </c>
      <c r="I5" s="11">
        <v>0</v>
      </c>
      <c r="K5" s="5"/>
      <c r="L5" s="5"/>
      <c r="M5" s="11">
        <v>2</v>
      </c>
      <c r="N5" s="11">
        <v>215</v>
      </c>
      <c r="O5" s="11">
        <v>3.6</v>
      </c>
      <c r="Q5" s="5"/>
      <c r="S5" s="11">
        <v>100</v>
      </c>
      <c r="T5" s="11">
        <v>100</v>
      </c>
      <c r="U5" s="11">
        <v>0.98</v>
      </c>
    </row>
    <row r="6" spans="1:21" x14ac:dyDescent="0.25">
      <c r="A6" s="11">
        <v>2</v>
      </c>
      <c r="B6" s="11">
        <v>597</v>
      </c>
      <c r="C6" s="11">
        <v>2.8</v>
      </c>
      <c r="D6">
        <f t="shared" ref="D6:D14" si="1">B6/C6</f>
        <v>213.21428571428572</v>
      </c>
      <c r="E6" s="7"/>
      <c r="F6" s="1"/>
      <c r="G6" s="11">
        <v>200</v>
      </c>
      <c r="H6" s="11">
        <v>200</v>
      </c>
      <c r="I6" s="11">
        <v>0</v>
      </c>
      <c r="K6" s="1"/>
      <c r="L6" s="1"/>
      <c r="M6" s="11">
        <v>3</v>
      </c>
      <c r="N6" s="11">
        <v>229</v>
      </c>
      <c r="O6" s="11">
        <v>5.5</v>
      </c>
      <c r="Q6" s="1"/>
      <c r="S6" s="11">
        <v>200</v>
      </c>
      <c r="T6" s="11">
        <v>200</v>
      </c>
      <c r="U6" s="11">
        <v>0.997</v>
      </c>
    </row>
    <row r="7" spans="1:21" x14ac:dyDescent="0.25">
      <c r="A7" s="11">
        <v>3</v>
      </c>
      <c r="B7" s="11">
        <v>612</v>
      </c>
      <c r="C7" s="11">
        <v>4.7699999999999996</v>
      </c>
      <c r="D7">
        <f t="shared" si="1"/>
        <v>128.30188679245285</v>
      </c>
      <c r="E7" s="6"/>
      <c r="F7" s="6"/>
      <c r="G7" s="11">
        <v>500</v>
      </c>
      <c r="H7" s="11">
        <v>500</v>
      </c>
      <c r="I7" s="11">
        <v>1E-3</v>
      </c>
      <c r="K7" s="6"/>
      <c r="L7" s="6"/>
      <c r="M7" s="11">
        <v>4</v>
      </c>
      <c r="N7" s="11">
        <v>238</v>
      </c>
      <c r="O7" s="11">
        <v>7.5</v>
      </c>
      <c r="Q7" s="6"/>
      <c r="S7" s="11">
        <v>500</v>
      </c>
      <c r="T7" s="11">
        <v>500</v>
      </c>
      <c r="U7" s="11">
        <v>1</v>
      </c>
    </row>
    <row r="8" spans="1:21" x14ac:dyDescent="0.25">
      <c r="A8" s="11">
        <v>4</v>
      </c>
      <c r="B8" s="11">
        <v>623</v>
      </c>
      <c r="C8" s="11">
        <v>6.75</v>
      </c>
      <c r="D8">
        <f t="shared" si="1"/>
        <v>92.296296296296291</v>
      </c>
      <c r="E8" s="4"/>
      <c r="F8" s="4"/>
      <c r="G8" s="11">
        <v>700</v>
      </c>
      <c r="H8" s="11">
        <v>700</v>
      </c>
      <c r="I8" s="11">
        <v>1E-3</v>
      </c>
      <c r="K8" s="4"/>
      <c r="L8" s="4"/>
      <c r="M8" s="11">
        <v>5</v>
      </c>
      <c r="N8" s="11">
        <v>246</v>
      </c>
      <c r="O8" s="11">
        <v>9.5</v>
      </c>
      <c r="Q8" s="4"/>
      <c r="S8" s="11">
        <v>700</v>
      </c>
      <c r="T8" s="11">
        <v>700</v>
      </c>
      <c r="U8" s="11">
        <v>1</v>
      </c>
    </row>
    <row r="9" spans="1:21" x14ac:dyDescent="0.25">
      <c r="A9" s="11">
        <v>5</v>
      </c>
      <c r="B9" s="11">
        <v>632</v>
      </c>
      <c r="C9" s="11">
        <v>8.74</v>
      </c>
      <c r="D9">
        <f t="shared" si="1"/>
        <v>72.311212814645302</v>
      </c>
      <c r="E9" s="4"/>
      <c r="F9" s="4"/>
      <c r="G9" s="11">
        <v>800</v>
      </c>
      <c r="H9" s="11">
        <v>800</v>
      </c>
      <c r="I9" s="11">
        <v>1E-3</v>
      </c>
      <c r="K9" s="4"/>
      <c r="L9" s="4"/>
      <c r="M9" s="11">
        <v>6</v>
      </c>
      <c r="N9" s="11">
        <v>253</v>
      </c>
      <c r="O9" s="11">
        <v>11.5</v>
      </c>
      <c r="Q9" s="4"/>
      <c r="S9" s="11">
        <v>800</v>
      </c>
      <c r="T9" s="11">
        <v>800</v>
      </c>
      <c r="U9" s="11">
        <v>1</v>
      </c>
    </row>
    <row r="10" spans="1:21" x14ac:dyDescent="0.25">
      <c r="C10" t="s">
        <v>7</v>
      </c>
      <c r="D10" s="4">
        <f>(B11-B9)/(C11-C9)</f>
        <v>3.571428571428573</v>
      </c>
      <c r="F10" s="4"/>
      <c r="G10" s="11">
        <v>1000</v>
      </c>
      <c r="H10" s="11">
        <v>1000</v>
      </c>
      <c r="I10" s="11">
        <v>1E-3</v>
      </c>
      <c r="K10" s="4"/>
      <c r="L10" s="4"/>
      <c r="M10" s="11">
        <v>7</v>
      </c>
      <c r="N10" s="11">
        <v>260</v>
      </c>
      <c r="O10" s="11">
        <v>13.5</v>
      </c>
      <c r="Q10" s="4"/>
      <c r="S10" s="11">
        <v>1000</v>
      </c>
      <c r="T10" s="11">
        <v>1000</v>
      </c>
      <c r="U10" s="11">
        <v>1</v>
      </c>
    </row>
    <row r="11" spans="1:21" x14ac:dyDescent="0.25">
      <c r="A11" s="11">
        <v>6</v>
      </c>
      <c r="B11" s="11">
        <v>639</v>
      </c>
      <c r="C11" s="11">
        <v>10.7</v>
      </c>
      <c r="D11">
        <f>B11/C11</f>
        <v>59.719626168224302</v>
      </c>
      <c r="E11" s="4"/>
      <c r="F11" s="4"/>
      <c r="G11" s="11">
        <v>2000</v>
      </c>
      <c r="H11" s="11">
        <v>2000</v>
      </c>
      <c r="I11" s="11">
        <v>2E-3</v>
      </c>
      <c r="K11" s="4"/>
      <c r="L11" s="4"/>
      <c r="M11" s="11">
        <v>8</v>
      </c>
      <c r="N11" s="11">
        <v>265</v>
      </c>
      <c r="O11" s="11">
        <v>15.5</v>
      </c>
      <c r="Q11" s="4"/>
      <c r="S11" s="11">
        <v>2000</v>
      </c>
      <c r="T11" s="11">
        <v>2000</v>
      </c>
      <c r="U11" s="11">
        <v>1.002</v>
      </c>
    </row>
    <row r="12" spans="1:21" x14ac:dyDescent="0.25">
      <c r="A12" s="11">
        <v>7</v>
      </c>
      <c r="B12" s="11">
        <v>646</v>
      </c>
      <c r="C12" s="11">
        <v>12.7</v>
      </c>
      <c r="D12">
        <f>B12/C12</f>
        <v>50.866141732283467</v>
      </c>
      <c r="E12" s="4"/>
      <c r="F12" s="4"/>
      <c r="G12" s="11">
        <v>5000</v>
      </c>
      <c r="H12" s="11">
        <v>5000</v>
      </c>
      <c r="I12" s="11">
        <v>5.0000000000000001E-3</v>
      </c>
      <c r="K12" s="4"/>
      <c r="L12" s="4"/>
      <c r="M12" s="11">
        <v>9</v>
      </c>
      <c r="N12" s="11">
        <v>270</v>
      </c>
      <c r="O12" s="11">
        <v>17.5</v>
      </c>
      <c r="Q12" s="4"/>
      <c r="S12" s="11">
        <v>5000</v>
      </c>
      <c r="T12" s="11">
        <v>5000</v>
      </c>
      <c r="U12" s="11">
        <v>1.0049999999999999</v>
      </c>
    </row>
    <row r="13" spans="1:21" x14ac:dyDescent="0.25">
      <c r="A13" s="11">
        <v>8</v>
      </c>
      <c r="B13" s="11">
        <v>651</v>
      </c>
      <c r="C13" s="11">
        <v>14.7</v>
      </c>
      <c r="D13">
        <f>B13/C13</f>
        <v>44.285714285714285</v>
      </c>
      <c r="E13" s="4"/>
      <c r="F13" s="4"/>
      <c r="G13" s="4"/>
      <c r="H13" s="4"/>
      <c r="I13" s="4"/>
      <c r="J13" s="4"/>
      <c r="K13" s="4"/>
      <c r="L13" s="4"/>
      <c r="M13" s="11">
        <v>10</v>
      </c>
      <c r="N13" s="11">
        <v>275</v>
      </c>
      <c r="O13" s="11">
        <v>19.5</v>
      </c>
      <c r="Q13" s="4"/>
    </row>
    <row r="14" spans="1:21" x14ac:dyDescent="0.25">
      <c r="A14" s="11">
        <v>9</v>
      </c>
      <c r="B14" s="11">
        <v>657</v>
      </c>
      <c r="C14" s="11">
        <v>16.7</v>
      </c>
      <c r="D14">
        <f>B14/C14</f>
        <v>39.341317365269461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21" x14ac:dyDescent="0.25">
      <c r="A15" s="11">
        <v>10</v>
      </c>
      <c r="B15" s="11">
        <v>662</v>
      </c>
      <c r="C15" s="11">
        <v>18.7</v>
      </c>
      <c r="D15">
        <f>B15/C15</f>
        <v>35.401069518716582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2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eclitt</dc:creator>
  <cp:lastModifiedBy>eclitt</cp:lastModifiedBy>
  <dcterms:created xsi:type="dcterms:W3CDTF">2015-06-05T18:19:34Z</dcterms:created>
  <dcterms:modified xsi:type="dcterms:W3CDTF">2026-03-19T15:12:43Z</dcterms:modified>
</cp:coreProperties>
</file>